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arynguyen1295/Downloads/Thuc (Gary) Nguyen - for Mr. Green - Mission National Bank/Excel specific projects/"/>
    </mc:Choice>
  </mc:AlternateContent>
  <xr:revisionPtr revIDLastSave="0" documentId="13_ncr:1_{28B2BAA1-ED01-614C-B160-8B2D963D5B44}" xr6:coauthVersionLast="36" xr6:coauthVersionMax="36" xr10:uidLastSave="{00000000-0000-0000-0000-000000000000}"/>
  <bookViews>
    <workbookView xWindow="1580" yWindow="2900" windowWidth="25600" windowHeight="14180" xr2:uid="{00000000-000D-0000-FFFF-FFFF00000000}"/>
  </bookViews>
  <sheets>
    <sheet name="VBA" sheetId="1" r:id="rId1"/>
  </sheets>
  <calcPr calcId="18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1" l="1"/>
  <c r="K29" i="1" l="1"/>
  <c r="K30" i="1"/>
  <c r="K31" i="1"/>
  <c r="K32" i="1"/>
  <c r="K33" i="1"/>
  <c r="K34" i="1"/>
  <c r="K35" i="1"/>
  <c r="M35" i="1" s="1"/>
  <c r="K36" i="1"/>
  <c r="K37" i="1"/>
  <c r="K38" i="1"/>
  <c r="L38" i="1" s="1"/>
  <c r="K39" i="1"/>
  <c r="K40" i="1"/>
  <c r="K41" i="1"/>
  <c r="K28" i="1"/>
  <c r="L30" i="1"/>
  <c r="L34" i="1"/>
  <c r="L29" i="1"/>
  <c r="L33" i="1"/>
  <c r="L37" i="1"/>
  <c r="L41" i="1"/>
  <c r="L28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4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28" i="1"/>
  <c r="E108" i="1"/>
  <c r="E107" i="1"/>
  <c r="E106" i="1"/>
  <c r="E105" i="1"/>
  <c r="E104" i="1"/>
  <c r="E103" i="1"/>
  <c r="E102" i="1"/>
  <c r="E101" i="1"/>
  <c r="E100" i="1"/>
  <c r="E99" i="1"/>
  <c r="M37" i="1" s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M38" i="1" s="1"/>
  <c r="E78" i="1"/>
  <c r="E77" i="1"/>
  <c r="E76" i="1"/>
  <c r="E75" i="1"/>
  <c r="E74" i="1"/>
  <c r="E73" i="1"/>
  <c r="E72" i="1"/>
  <c r="E71" i="1"/>
  <c r="E70" i="1"/>
  <c r="E69" i="1"/>
  <c r="M41" i="1" s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M29" i="1" s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M30" i="1" s="1"/>
  <c r="E23" i="1"/>
  <c r="E22" i="1"/>
  <c r="E21" i="1"/>
  <c r="E20" i="1"/>
  <c r="E19" i="1"/>
  <c r="E18" i="1"/>
  <c r="E17" i="1"/>
  <c r="E16" i="1"/>
  <c r="E15" i="1"/>
  <c r="E14" i="1"/>
  <c r="E13" i="1"/>
  <c r="E12" i="1"/>
  <c r="E10" i="1"/>
  <c r="M31" i="1" s="1"/>
  <c r="E9" i="1"/>
  <c r="E8" i="1"/>
  <c r="E7" i="1"/>
  <c r="E6" i="1"/>
  <c r="E5" i="1"/>
  <c r="E4" i="1"/>
  <c r="E3" i="1"/>
  <c r="E2" i="1"/>
  <c r="M28" i="1" s="1"/>
  <c r="M34" i="1" l="1"/>
  <c r="M39" i="1"/>
  <c r="M33" i="1"/>
  <c r="M40" i="1"/>
  <c r="M36" i="1"/>
  <c r="M32" i="1"/>
  <c r="L40" i="1"/>
  <c r="L36" i="1"/>
  <c r="L32" i="1"/>
  <c r="L39" i="1"/>
  <c r="L35" i="1"/>
  <c r="L31" i="1"/>
</calcChain>
</file>

<file path=xl/sharedStrings.xml><?xml version="1.0" encoding="utf-8"?>
<sst xmlns="http://schemas.openxmlformats.org/spreadsheetml/2006/main" count="263" uniqueCount="138">
  <si>
    <t>Major</t>
  </si>
  <si>
    <t>Category</t>
  </si>
  <si>
    <t>Total People</t>
  </si>
  <si>
    <t>Unemployment Rate</t>
  </si>
  <si>
    <t>Salary</t>
  </si>
  <si>
    <t>GENERAL AGRICULTURE</t>
  </si>
  <si>
    <t>Agriculture &amp; Natural Resources</t>
  </si>
  <si>
    <t>AGRICULTURE PRODUCTION AND MANAGEMENT</t>
  </si>
  <si>
    <t>Categories</t>
  </si>
  <si>
    <t>Number of Majors</t>
  </si>
  <si>
    <t>Average Salary</t>
  </si>
  <si>
    <t>AGRICULTURAL ECONOMICS</t>
  </si>
  <si>
    <t>ANIMAL SCIENCES</t>
  </si>
  <si>
    <t>Communications &amp; Journalism</t>
  </si>
  <si>
    <t>COMMUNICATIONS</t>
  </si>
  <si>
    <t>Computers &amp; Mathematics</t>
  </si>
  <si>
    <t>JOURNALISM</t>
  </si>
  <si>
    <t>Education</t>
  </si>
  <si>
    <t>MASS MEDIA</t>
  </si>
  <si>
    <t>Engineering</t>
  </si>
  <si>
    <t>ADVERTISING AND PUBLIC RELATIONS</t>
  </si>
  <si>
    <t>Humanities &amp; Liberal Arts</t>
  </si>
  <si>
    <t>COMMUNICATION TECHNOLOGIES</t>
  </si>
  <si>
    <t>Biology &amp; Life Science</t>
  </si>
  <si>
    <t>Physical Sciences</t>
  </si>
  <si>
    <t>COMPUTER PROGRAMMING AND DATA PROCESSING</t>
  </si>
  <si>
    <t>Psychology &amp; Social Work</t>
  </si>
  <si>
    <t>COMPUTER SCIENCE</t>
  </si>
  <si>
    <t>Law &amp; Public Policy</t>
  </si>
  <si>
    <t>INFORMATION SCIENCES</t>
  </si>
  <si>
    <t>Social Science</t>
  </si>
  <si>
    <t>Industrial Arts &amp; Consumer Services</t>
  </si>
  <si>
    <t>Arts</t>
  </si>
  <si>
    <t>GENERAL EDUCATION</t>
  </si>
  <si>
    <t>Health</t>
  </si>
  <si>
    <t>EDUCATIONAL ADMINISTRATION AND SUPERVISION</t>
  </si>
  <si>
    <t>SCHOOL STUDENT COUNSELING</t>
  </si>
  <si>
    <t>ELEMENTARY EDUCATION</t>
  </si>
  <si>
    <t>MATHEMATICS TEACHER EDUCATION</t>
  </si>
  <si>
    <t>PHYSICAL AND HEALTH EDUCATION TEACHING</t>
  </si>
  <si>
    <t>EARLY CHILDHOOD EDUCATION</t>
  </si>
  <si>
    <t>GENERAL ENGINEERING</t>
  </si>
  <si>
    <t>AEROSPACE ENGINEERING</t>
  </si>
  <si>
    <t>BIOLOGICAL ENGINEERING</t>
  </si>
  <si>
    <t>ARCHITECTURAL ENGINEERING</t>
  </si>
  <si>
    <t>Major Unemployment Rate</t>
  </si>
  <si>
    <t>Number of People in each Category</t>
  </si>
  <si>
    <t>Unemployment Rate in each Category</t>
  </si>
  <si>
    <t>BIOMEDICAL ENGINEERING</t>
  </si>
  <si>
    <t>CHEMICAL ENGINEERING</t>
  </si>
  <si>
    <t>BIOLOGY</t>
  </si>
  <si>
    <t>CIVIL ENGINEERING</t>
  </si>
  <si>
    <t>COMPUTER ENGINEERING</t>
  </si>
  <si>
    <t>ELECTRICAL ENGINEERING</t>
  </si>
  <si>
    <t>DRAMA AND THEATER ARTS</t>
  </si>
  <si>
    <t>ENGINEERING MECHANICS PHYSICS AND SCIENCE</t>
  </si>
  <si>
    <t>ECONOMICS</t>
  </si>
  <si>
    <t>ENVIRONMENTAL ENGINEERING</t>
  </si>
  <si>
    <t>GEOLOGICAL AND GEOPHYSICAL ENGINEERING</t>
  </si>
  <si>
    <t>ENGLISH LANGUAGE AND LITERATURE</t>
  </si>
  <si>
    <t>INDUSTRIAL AND MANUFACTURING ENGINEERING</t>
  </si>
  <si>
    <t>MATERIALS ENGINEERING AND MATERIALS SCIENCE</t>
  </si>
  <si>
    <t>GENERAL MEDICAL AND HEALTH SERVICES</t>
  </si>
  <si>
    <t>MECHANICAL ENGINEERING</t>
  </si>
  <si>
    <t>INTERNATIONAL RELATIONS</t>
  </si>
  <si>
    <t>LINGUISTICS AND COMPARATIVE LANGUAGE AND LITERATURE</t>
  </si>
  <si>
    <t>FRENCH GERMAN LATIN AND OTHER COMMON FOREIGN LANGUAGE STUDIES</t>
  </si>
  <si>
    <t>NURSING</t>
  </si>
  <si>
    <t>OTHER FOREIGN LANGUAGES</t>
  </si>
  <si>
    <t>PSYCHOLOGY</t>
  </si>
  <si>
    <t>COMPOSITION AND RHETORIC</t>
  </si>
  <si>
    <t>LIBERAL ARTS</t>
  </si>
  <si>
    <t>HUMANITIES</t>
  </si>
  <si>
    <t>BIOCHEMICAL SCIENCES</t>
  </si>
  <si>
    <t>BOTANY</t>
  </si>
  <si>
    <t>MOLECULAR BIOLOGY</t>
  </si>
  <si>
    <t>ECOLOGY</t>
  </si>
  <si>
    <t>GENETICS</t>
  </si>
  <si>
    <t>MICROBIOLOGY</t>
  </si>
  <si>
    <t>PHARMACOLOGY</t>
  </si>
  <si>
    <t>PHYSIOLOGY</t>
  </si>
  <si>
    <t>ZOOLOGY</t>
  </si>
  <si>
    <t>NEUROSCIENCE</t>
  </si>
  <si>
    <t>MISCELLANEOUS BIOLOGY</t>
  </si>
  <si>
    <t>COGNITIVE SCIENCE AND BIOPSYCHOLOGY</t>
  </si>
  <si>
    <t>PHYSICAL SCIENCES</t>
  </si>
  <si>
    <t>ASTRONOMY AND ASTROPHYSICS</t>
  </si>
  <si>
    <t>ATMOSPHERIC SCIENCES AND METEOROLOGY</t>
  </si>
  <si>
    <t>CHEMISTRY</t>
  </si>
  <si>
    <t>GEOLOGY AND EARTH SCIENCE</t>
  </si>
  <si>
    <t>GEOSCIENCES</t>
  </si>
  <si>
    <t>OCEANOGRAPHY</t>
  </si>
  <si>
    <t>PHYSICS</t>
  </si>
  <si>
    <t>MULTI-DISCIPLINARY OR GENERAL SCIENCE</t>
  </si>
  <si>
    <t>NUCLEAR, INDUSTRIAL RADIOLOGY, AND BIOLOGICAL TECHNOLOGIES</t>
  </si>
  <si>
    <t>EDUCATIONAL PSYCHOLOGY</t>
  </si>
  <si>
    <t>CLINICAL PSYCHOLOGY</t>
  </si>
  <si>
    <t>COUNSELING PSYCHOLOGY</t>
  </si>
  <si>
    <t>INDUSTRIAL AND ORGANIZATIONAL PSYCHOLOGY</t>
  </si>
  <si>
    <t>SOCIAL PSYCHOLOGY</t>
  </si>
  <si>
    <t>MISCELLANEOUS PSYCHOLOGY</t>
  </si>
  <si>
    <t>CRIMINAL JUSTICE AND FIRE PROTECTION</t>
  </si>
  <si>
    <t>PUBLIC ADMINISTRATION</t>
  </si>
  <si>
    <t>PUBLIC POLICY</t>
  </si>
  <si>
    <t>GENERAL SOCIAL SCIENCES</t>
  </si>
  <si>
    <t>CRIMINOLOGY</t>
  </si>
  <si>
    <t>GEOGRAPHY</t>
  </si>
  <si>
    <t>POLITICAL SCIENCE AND GOVERNMENT</t>
  </si>
  <si>
    <t>SOCIOLOGY</t>
  </si>
  <si>
    <t>MISCELLANEOUS SOCIAL SCIENCES</t>
  </si>
  <si>
    <t>CONSTRUCTION SERVICES</t>
  </si>
  <si>
    <t>ELECTRICAL, MECHANICAL, AND PRECISION TECHNOLOGIES AND PRODUCTION</t>
  </si>
  <si>
    <t>TRANSPORTATION SCIENCES AND TECHNOLOGIES</t>
  </si>
  <si>
    <t>FINE ARTS</t>
  </si>
  <si>
    <t>MUSIC</t>
  </si>
  <si>
    <t>VISUAL AND PERFORMING ARTS</t>
  </si>
  <si>
    <t>COMMERCIAL ART AND GRAPHIC DESIGN</t>
  </si>
  <si>
    <t>FILM VIDEO AND PHOTOGRAPHIC ARTS</t>
  </si>
  <si>
    <t>STUDIO ARTS</t>
  </si>
  <si>
    <t>MISCELLANEOUS FINE ARTS</t>
  </si>
  <si>
    <t>COMMUNICATION DISORDERS SCIENCES AND SERVICES</t>
  </si>
  <si>
    <t>HEALTH AND MEDICAL ADMINISTRATIVE SERVICES</t>
  </si>
  <si>
    <t>MEDICAL ASSISTING SERVICES</t>
  </si>
  <si>
    <t>MEDICAL TECHNOLOGIES TECHNICIANS</t>
  </si>
  <si>
    <t>HEALTH AND MEDICAL PREPARATORY PROGRAMS</t>
  </si>
  <si>
    <t>PHARMACY PHARMACEUTICAL SCIENCES AND ADMINISTRATION</t>
  </si>
  <si>
    <t>TREATMENT THERAPY PROFESSIONS</t>
  </si>
  <si>
    <t>COMMUNITY AND PUBLIC HEALTH</t>
  </si>
  <si>
    <t>MISCELLANEOUS HEALTH MEDICAL PROFESSIONS</t>
  </si>
  <si>
    <t>Expected Unemployed in each Category</t>
  </si>
  <si>
    <t>Expected Unemployed</t>
  </si>
  <si>
    <t>ACTUARIAL SCIENCE</t>
  </si>
  <si>
    <t>MATHEMATICS</t>
  </si>
  <si>
    <t>STATISTICS</t>
  </si>
  <si>
    <t>What is the average salary of each (major) category?</t>
  </si>
  <si>
    <t>Compare the unemployment rate of each major with its (major) category.</t>
  </si>
  <si>
    <t>## Use VlookUp</t>
  </si>
  <si>
    <t>## Use Sumif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</si>
</sst>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0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sz val="9"/>
      <color rgb="FF24292E"/>
      <name val="-apple-system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1"/>
      <name val="Calibri (Body)_x0000_"/>
    </font>
    <font>
      <b/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6F8FA"/>
        <bgColor rgb="FFF6F8FA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4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3" fillId="3" borderId="3" xfId="0" applyFont="1" applyFill="1" applyBorder="1" applyAlignment="1"/>
    <xf numFmtId="0" fontId="3" fillId="3" borderId="4" xfId="0" applyFont="1" applyFill="1" applyBorder="1" applyAlignment="1"/>
    <xf numFmtId="0" fontId="4" fillId="0" borderId="0" xfId="0" applyFont="1"/>
    <xf numFmtId="0" fontId="3" fillId="4" borderId="3" xfId="0" applyFont="1" applyFill="1" applyBorder="1" applyAlignment="1"/>
    <xf numFmtId="0" fontId="3" fillId="4" borderId="4" xfId="0" applyFont="1" applyFill="1" applyBorder="1" applyAlignment="1"/>
    <xf numFmtId="0" fontId="0" fillId="0" borderId="0" xfId="0" applyFont="1" applyAlignment="1"/>
    <xf numFmtId="0" fontId="2" fillId="2" borderId="5" xfId="0" applyFont="1" applyFill="1" applyBorder="1" applyAlignment="1">
      <alignment horizontal="center"/>
    </xf>
    <xf numFmtId="2" fontId="0" fillId="0" borderId="0" xfId="0" applyNumberFormat="1" applyFill="1" applyBorder="1"/>
    <xf numFmtId="0" fontId="3" fillId="3" borderId="5" xfId="0" applyFont="1" applyFill="1" applyBorder="1" applyAlignment="1"/>
    <xf numFmtId="0" fontId="3" fillId="3" borderId="5" xfId="1" applyNumberFormat="1" applyFont="1" applyFill="1" applyBorder="1" applyAlignment="1"/>
    <xf numFmtId="0" fontId="3" fillId="0" borderId="0" xfId="0" applyFont="1" applyFill="1" applyBorder="1" applyAlignment="1"/>
    <xf numFmtId="0" fontId="3" fillId="4" borderId="5" xfId="0" applyFont="1" applyFill="1" applyBorder="1" applyAlignment="1"/>
    <xf numFmtId="0" fontId="6" fillId="0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2" fillId="2" borderId="5" xfId="0" applyFont="1" applyFill="1" applyBorder="1" applyAlignment="1">
      <alignment horizontal="center" wrapText="1"/>
    </xf>
    <xf numFmtId="0" fontId="5" fillId="0" borderId="0" xfId="0" applyFont="1"/>
    <xf numFmtId="0" fontId="7" fillId="0" borderId="0" xfId="0" applyFont="1"/>
    <xf numFmtId="0" fontId="8" fillId="0" borderId="0" xfId="0" applyFont="1"/>
    <xf numFmtId="0" fontId="9" fillId="5" borderId="5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 wrapText="1"/>
    </xf>
    <xf numFmtId="0" fontId="3" fillId="3" borderId="6" xfId="0" applyFont="1" applyFill="1" applyBorder="1" applyAlignme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O108"/>
  <sheetViews>
    <sheetView tabSelected="1" topLeftCell="J9" workbookViewId="0">
      <selection activeCell="L20" sqref="L20"/>
    </sheetView>
  </sheetViews>
  <sheetFormatPr baseColWidth="10" defaultColWidth="13.1640625" defaultRowHeight="16"/>
  <cols>
    <col min="1" max="1" width="69.1640625" bestFit="1" customWidth="1"/>
    <col min="2" max="2" width="27.5" bestFit="1" customWidth="1"/>
    <col min="3" max="3" width="12.33203125" bestFit="1" customWidth="1"/>
    <col min="4" max="4" width="19.33203125" bestFit="1" customWidth="1"/>
    <col min="5" max="5" width="22.33203125" bestFit="1" customWidth="1"/>
    <col min="6" max="6" width="13.83203125" bestFit="1" customWidth="1"/>
    <col min="8" max="8" width="23.33203125" bestFit="1" customWidth="1"/>
    <col min="9" max="9" width="33.5" bestFit="1" customWidth="1"/>
    <col min="10" max="10" width="22.83203125" bestFit="1" customWidth="1"/>
    <col min="11" max="11" width="22.1640625" bestFit="1" customWidth="1"/>
    <col min="12" max="12" width="32.6640625" customWidth="1"/>
    <col min="13" max="13" width="38.1640625" customWidth="1"/>
    <col min="14" max="14" width="32.83203125" customWidth="1"/>
    <col min="15" max="15" width="15.6640625" bestFit="1" customWidth="1"/>
  </cols>
  <sheetData>
    <row r="1" spans="1:15" ht="16" customHeight="1">
      <c r="A1" s="1" t="s">
        <v>0</v>
      </c>
      <c r="B1" s="1" t="s">
        <v>1</v>
      </c>
      <c r="C1" s="1" t="s">
        <v>2</v>
      </c>
      <c r="D1" s="2" t="s">
        <v>3</v>
      </c>
      <c r="E1" s="2" t="s">
        <v>130</v>
      </c>
      <c r="F1" s="2" t="s">
        <v>4</v>
      </c>
      <c r="I1" s="19" t="s">
        <v>134</v>
      </c>
    </row>
    <row r="2" spans="1:15" ht="18" customHeight="1">
      <c r="A2" s="3" t="s">
        <v>5</v>
      </c>
      <c r="B2" s="3" t="s">
        <v>6</v>
      </c>
      <c r="C2" s="3">
        <v>128148</v>
      </c>
      <c r="D2" s="4">
        <v>2.6147106E-2</v>
      </c>
      <c r="E2" s="4">
        <f>C2*D2</f>
        <v>3350.6993396879998</v>
      </c>
      <c r="F2" s="4">
        <v>50000</v>
      </c>
      <c r="J2" s="18"/>
      <c r="K2" s="18"/>
      <c r="M2" s="5"/>
    </row>
    <row r="3" spans="1:15">
      <c r="A3" s="6" t="s">
        <v>7</v>
      </c>
      <c r="B3" s="6" t="s">
        <v>6</v>
      </c>
      <c r="C3" s="6">
        <v>95326</v>
      </c>
      <c r="D3" s="7">
        <v>2.8636058999999998E-2</v>
      </c>
      <c r="E3" s="4">
        <f>C3*D3</f>
        <v>2729.7609602339999</v>
      </c>
      <c r="F3" s="7">
        <v>54000</v>
      </c>
      <c r="H3" s="8"/>
      <c r="I3" s="9" t="s">
        <v>8</v>
      </c>
      <c r="J3" s="9" t="s">
        <v>9</v>
      </c>
      <c r="K3" s="9" t="s">
        <v>4</v>
      </c>
      <c r="L3" s="21" t="s">
        <v>10</v>
      </c>
      <c r="O3" s="10"/>
    </row>
    <row r="4" spans="1:15">
      <c r="A4" s="3" t="s">
        <v>11</v>
      </c>
      <c r="B4" s="3" t="s">
        <v>6</v>
      </c>
      <c r="C4" s="3">
        <v>33955</v>
      </c>
      <c r="D4" s="4">
        <v>3.0248324E-2</v>
      </c>
      <c r="E4" s="4">
        <f t="shared" ref="E4:E67" si="0">C4*D4</f>
        <v>1027.08184142</v>
      </c>
      <c r="F4" s="4">
        <v>63000</v>
      </c>
      <c r="H4" s="8"/>
      <c r="I4" s="11" t="s">
        <v>6</v>
      </c>
      <c r="J4" s="11">
        <f>COUNTIF($B$2:$B$108,I4)</f>
        <v>4</v>
      </c>
      <c r="K4" s="12">
        <f>SUMIF($B$2:$B$108,I4,$F$2:$F$108)</f>
        <v>213000</v>
      </c>
      <c r="L4" s="12">
        <v>53250</v>
      </c>
      <c r="O4" s="13"/>
    </row>
    <row r="5" spans="1:15">
      <c r="A5" s="6" t="s">
        <v>12</v>
      </c>
      <c r="B5" s="6" t="s">
        <v>6</v>
      </c>
      <c r="C5" s="6">
        <v>103549</v>
      </c>
      <c r="D5" s="7">
        <v>4.2678899999999999E-2</v>
      </c>
      <c r="E5" s="4">
        <f t="shared" si="0"/>
        <v>4419.3574160999997</v>
      </c>
      <c r="F5" s="7">
        <v>46000</v>
      </c>
      <c r="H5" s="8"/>
      <c r="I5" s="14" t="s">
        <v>13</v>
      </c>
      <c r="J5" s="11">
        <f t="shared" ref="J5:J17" si="1">COUNTIF($B$2:$B$108,I5)</f>
        <v>4</v>
      </c>
      <c r="K5" s="12">
        <f t="shared" ref="K5:K17" si="2">SUMIF($B$2:$B$108,I5,$F$2:$F$108)</f>
        <v>198000</v>
      </c>
      <c r="L5" s="12">
        <v>49500</v>
      </c>
      <c r="O5" s="13"/>
    </row>
    <row r="6" spans="1:15">
      <c r="A6" s="6" t="s">
        <v>14</v>
      </c>
      <c r="B6" s="6" t="s">
        <v>13</v>
      </c>
      <c r="C6" s="6">
        <v>987676</v>
      </c>
      <c r="D6" s="7">
        <v>6.4360314000000002E-2</v>
      </c>
      <c r="E6" s="4">
        <f t="shared" si="0"/>
        <v>63567.137490264002</v>
      </c>
      <c r="F6" s="7">
        <v>50000</v>
      </c>
      <c r="H6" s="8"/>
      <c r="I6" s="14" t="s">
        <v>15</v>
      </c>
      <c r="J6" s="11">
        <f t="shared" si="1"/>
        <v>7</v>
      </c>
      <c r="K6" s="12">
        <f t="shared" si="2"/>
        <v>490999</v>
      </c>
      <c r="L6" s="12">
        <v>70142.71428571429</v>
      </c>
      <c r="O6" s="13"/>
    </row>
    <row r="7" spans="1:15">
      <c r="A7" s="3" t="s">
        <v>16</v>
      </c>
      <c r="B7" s="3" t="s">
        <v>13</v>
      </c>
      <c r="C7" s="3">
        <v>418104</v>
      </c>
      <c r="D7" s="4">
        <v>6.1916751999999999E-2</v>
      </c>
      <c r="E7" s="4">
        <f t="shared" si="0"/>
        <v>25887.641678207998</v>
      </c>
      <c r="F7" s="4">
        <v>50000</v>
      </c>
      <c r="H7" s="8"/>
      <c r="I7" s="14" t="s">
        <v>17</v>
      </c>
      <c r="J7" s="11">
        <f t="shared" si="1"/>
        <v>7</v>
      </c>
      <c r="K7" s="12">
        <f t="shared" si="2"/>
        <v>308700</v>
      </c>
      <c r="L7" s="12">
        <v>44100</v>
      </c>
      <c r="O7" s="13"/>
    </row>
    <row r="8" spans="1:15">
      <c r="A8" s="6" t="s">
        <v>18</v>
      </c>
      <c r="B8" s="6" t="s">
        <v>13</v>
      </c>
      <c r="C8" s="6">
        <v>211213</v>
      </c>
      <c r="D8" s="7">
        <v>8.3004759999999997E-2</v>
      </c>
      <c r="E8" s="4">
        <f t="shared" si="0"/>
        <v>17531.684373879998</v>
      </c>
      <c r="F8" s="7">
        <v>48000</v>
      </c>
      <c r="H8" s="8"/>
      <c r="I8" s="11" t="s">
        <v>19</v>
      </c>
      <c r="J8" s="11">
        <f t="shared" si="1"/>
        <v>15</v>
      </c>
      <c r="K8" s="12">
        <f t="shared" si="2"/>
        <v>1145000</v>
      </c>
      <c r="L8" s="12">
        <v>76333.333333333328</v>
      </c>
      <c r="O8" s="13"/>
    </row>
    <row r="9" spans="1:15">
      <c r="A9" s="3" t="s">
        <v>20</v>
      </c>
      <c r="B9" s="3" t="s">
        <v>13</v>
      </c>
      <c r="C9" s="3">
        <v>186829</v>
      </c>
      <c r="D9" s="4">
        <v>6.7216257000000001E-2</v>
      </c>
      <c r="E9" s="4">
        <f t="shared" si="0"/>
        <v>12557.946079053001</v>
      </c>
      <c r="F9" s="4">
        <v>50000</v>
      </c>
      <c r="H9" s="8"/>
      <c r="I9" s="14" t="s">
        <v>21</v>
      </c>
      <c r="J9" s="11">
        <f t="shared" si="1"/>
        <v>7</v>
      </c>
      <c r="K9" s="12">
        <f t="shared" si="2"/>
        <v>327700</v>
      </c>
      <c r="L9" s="12">
        <v>46814.285714285717</v>
      </c>
      <c r="O9" s="13"/>
    </row>
    <row r="10" spans="1:15">
      <c r="A10" s="6" t="s">
        <v>131</v>
      </c>
      <c r="B10" s="6" t="s">
        <v>15</v>
      </c>
      <c r="C10" s="6">
        <v>253782</v>
      </c>
      <c r="D10" s="7">
        <v>0</v>
      </c>
      <c r="E10" s="4">
        <f>C10*D10</f>
        <v>0</v>
      </c>
      <c r="F10" s="7">
        <v>99999</v>
      </c>
      <c r="H10" s="8"/>
      <c r="I10" s="11" t="s">
        <v>23</v>
      </c>
      <c r="J10" s="11">
        <f t="shared" si="1"/>
        <v>13</v>
      </c>
      <c r="K10" s="12">
        <f t="shared" si="2"/>
        <v>659500</v>
      </c>
      <c r="L10" s="12">
        <v>50730.769230769234</v>
      </c>
      <c r="O10" s="13"/>
    </row>
    <row r="11" spans="1:15">
      <c r="A11" s="23" t="s">
        <v>22</v>
      </c>
      <c r="B11" s="3" t="s">
        <v>15</v>
      </c>
      <c r="C11" s="3">
        <v>62141</v>
      </c>
      <c r="D11" s="4">
        <v>8.5008668999999995E-2</v>
      </c>
      <c r="E11" s="4">
        <v>5282.5237003289994</v>
      </c>
      <c r="F11" s="4">
        <v>50000</v>
      </c>
      <c r="H11" s="8"/>
      <c r="I11" s="14" t="s">
        <v>24</v>
      </c>
      <c r="J11" s="11">
        <f t="shared" si="1"/>
        <v>10</v>
      </c>
      <c r="K11" s="12">
        <f t="shared" si="2"/>
        <v>624000</v>
      </c>
      <c r="L11" s="12">
        <v>62400</v>
      </c>
      <c r="O11" s="13"/>
    </row>
    <row r="12" spans="1:15">
      <c r="A12" s="6" t="s">
        <v>25</v>
      </c>
      <c r="B12" s="6" t="s">
        <v>15</v>
      </c>
      <c r="C12" s="6">
        <v>29317</v>
      </c>
      <c r="D12" s="7">
        <v>9.0264216999999994E-2</v>
      </c>
      <c r="E12" s="4">
        <f t="shared" si="0"/>
        <v>2646.2760497889999</v>
      </c>
      <c r="F12" s="7">
        <v>60000</v>
      </c>
      <c r="H12" s="8"/>
      <c r="I12" s="11" t="s">
        <v>26</v>
      </c>
      <c r="J12" s="11">
        <f t="shared" si="1"/>
        <v>7</v>
      </c>
      <c r="K12" s="12">
        <f t="shared" si="2"/>
        <v>323000</v>
      </c>
      <c r="L12" s="12">
        <v>46142.857142857145</v>
      </c>
      <c r="O12" s="13"/>
    </row>
    <row r="13" spans="1:15">
      <c r="A13" s="3" t="s">
        <v>27</v>
      </c>
      <c r="B13" s="3" t="s">
        <v>15</v>
      </c>
      <c r="C13" s="3">
        <v>783292</v>
      </c>
      <c r="D13" s="4">
        <v>4.9518657000000001E-2</v>
      </c>
      <c r="E13" s="4">
        <f t="shared" si="0"/>
        <v>38787.567878843998</v>
      </c>
      <c r="F13" s="4">
        <v>78000</v>
      </c>
      <c r="H13" s="8"/>
      <c r="I13" s="14" t="s">
        <v>28</v>
      </c>
      <c r="J13" s="11">
        <f t="shared" si="1"/>
        <v>3</v>
      </c>
      <c r="K13" s="12">
        <f t="shared" si="2"/>
        <v>166000</v>
      </c>
      <c r="L13" s="12">
        <v>55333.333333333336</v>
      </c>
      <c r="O13" s="13"/>
    </row>
    <row r="14" spans="1:15">
      <c r="A14" s="6" t="s">
        <v>29</v>
      </c>
      <c r="B14" s="6" t="s">
        <v>15</v>
      </c>
      <c r="C14" s="6">
        <v>77805</v>
      </c>
      <c r="D14" s="7">
        <v>5.2841063000000001E-2</v>
      </c>
      <c r="E14" s="4">
        <f t="shared" si="0"/>
        <v>4111.2989067150002</v>
      </c>
      <c r="F14" s="7">
        <v>68000</v>
      </c>
      <c r="H14" s="8"/>
      <c r="I14" s="11" t="s">
        <v>30</v>
      </c>
      <c r="J14" s="11">
        <f t="shared" si="1"/>
        <v>8</v>
      </c>
      <c r="K14" s="12">
        <f t="shared" si="2"/>
        <v>434000</v>
      </c>
      <c r="L14" s="12">
        <v>54250</v>
      </c>
      <c r="O14" s="13"/>
    </row>
    <row r="15" spans="1:15">
      <c r="A15" s="3" t="s">
        <v>132</v>
      </c>
      <c r="B15" s="3" t="s">
        <v>15</v>
      </c>
      <c r="C15" s="3">
        <v>39362</v>
      </c>
      <c r="D15" s="4">
        <v>7.5045724999999994E-2</v>
      </c>
      <c r="E15" s="4">
        <f t="shared" si="0"/>
        <v>2953.9498274499997</v>
      </c>
      <c r="F15" s="4">
        <v>65000</v>
      </c>
      <c r="H15" s="8"/>
      <c r="I15" s="14" t="s">
        <v>31</v>
      </c>
      <c r="J15" s="11">
        <f t="shared" si="1"/>
        <v>3</v>
      </c>
      <c r="K15" s="12">
        <f t="shared" si="2"/>
        <v>180000</v>
      </c>
      <c r="L15" s="12">
        <v>60000</v>
      </c>
      <c r="O15" s="13"/>
    </row>
    <row r="16" spans="1:15">
      <c r="A16" s="6" t="s">
        <v>133</v>
      </c>
      <c r="B16" s="6" t="s">
        <v>15</v>
      </c>
      <c r="C16" s="6">
        <v>51771</v>
      </c>
      <c r="D16" s="7">
        <v>5.8694120000000002E-2</v>
      </c>
      <c r="E16" s="4">
        <f t="shared" si="0"/>
        <v>3038.6532865200002</v>
      </c>
      <c r="F16" s="7">
        <v>70000</v>
      </c>
      <c r="H16" s="8"/>
      <c r="I16" s="11" t="s">
        <v>32</v>
      </c>
      <c r="J16" s="11">
        <f t="shared" si="1"/>
        <v>8</v>
      </c>
      <c r="K16" s="12">
        <f t="shared" si="2"/>
        <v>348200</v>
      </c>
      <c r="L16" s="12">
        <v>43525</v>
      </c>
      <c r="O16" s="13"/>
    </row>
    <row r="17" spans="1:15">
      <c r="A17" s="6" t="s">
        <v>33</v>
      </c>
      <c r="B17" s="6" t="s">
        <v>17</v>
      </c>
      <c r="C17" s="6">
        <v>1438867</v>
      </c>
      <c r="D17" s="7">
        <v>4.3903517000000003E-2</v>
      </c>
      <c r="E17" s="4">
        <f t="shared" si="0"/>
        <v>63171.321795239004</v>
      </c>
      <c r="F17" s="7">
        <v>43000</v>
      </c>
      <c r="H17" s="8"/>
      <c r="I17" s="14" t="s">
        <v>34</v>
      </c>
      <c r="J17" s="11">
        <f t="shared" si="1"/>
        <v>11</v>
      </c>
      <c r="K17" s="12">
        <f t="shared" si="2"/>
        <v>628000</v>
      </c>
      <c r="L17" s="12">
        <v>57090.909090909088</v>
      </c>
      <c r="O17" s="13"/>
    </row>
    <row r="18" spans="1:15">
      <c r="A18" s="3" t="s">
        <v>35</v>
      </c>
      <c r="B18" s="3" t="s">
        <v>17</v>
      </c>
      <c r="C18" s="3">
        <v>4037</v>
      </c>
      <c r="D18" s="4">
        <v>0</v>
      </c>
      <c r="E18" s="4">
        <f t="shared" si="0"/>
        <v>0</v>
      </c>
      <c r="F18" s="4">
        <v>58000</v>
      </c>
      <c r="H18" s="8"/>
    </row>
    <row r="19" spans="1:15">
      <c r="A19" s="6" t="s">
        <v>36</v>
      </c>
      <c r="B19" s="6" t="s">
        <v>17</v>
      </c>
      <c r="C19" s="6">
        <v>2396</v>
      </c>
      <c r="D19" s="7">
        <v>0.101745936</v>
      </c>
      <c r="E19" s="4">
        <f t="shared" si="0"/>
        <v>243.78326265599998</v>
      </c>
      <c r="F19" s="7">
        <v>41000</v>
      </c>
      <c r="H19" s="8"/>
    </row>
    <row r="20" spans="1:15">
      <c r="A20" s="3" t="s">
        <v>37</v>
      </c>
      <c r="B20" s="3" t="s">
        <v>17</v>
      </c>
      <c r="C20" s="3">
        <v>1446701</v>
      </c>
      <c r="D20" s="4">
        <v>3.8359164000000001E-2</v>
      </c>
      <c r="E20" s="4">
        <f t="shared" si="0"/>
        <v>55494.240917964002</v>
      </c>
      <c r="F20" s="4">
        <v>40000</v>
      </c>
      <c r="H20" s="8"/>
      <c r="I20" s="15"/>
    </row>
    <row r="21" spans="1:15">
      <c r="A21" s="6" t="s">
        <v>38</v>
      </c>
      <c r="B21" s="6" t="s">
        <v>17</v>
      </c>
      <c r="C21" s="6">
        <v>68808</v>
      </c>
      <c r="D21" s="7">
        <v>3.2983017000000003E-2</v>
      </c>
      <c r="E21" s="4">
        <f t="shared" si="0"/>
        <v>2269.4954337360005</v>
      </c>
      <c r="F21" s="7">
        <v>43000</v>
      </c>
      <c r="H21" s="8"/>
    </row>
    <row r="22" spans="1:15">
      <c r="A22" s="3" t="s">
        <v>39</v>
      </c>
      <c r="B22" s="3" t="s">
        <v>17</v>
      </c>
      <c r="C22" s="3">
        <v>281661</v>
      </c>
      <c r="D22" s="4">
        <v>4.6266957999999997E-2</v>
      </c>
      <c r="E22" s="4">
        <f t="shared" si="0"/>
        <v>13031.597657237999</v>
      </c>
      <c r="F22" s="4">
        <v>48400</v>
      </c>
      <c r="H22" s="8"/>
    </row>
    <row r="23" spans="1:15">
      <c r="A23" s="6" t="s">
        <v>40</v>
      </c>
      <c r="B23" s="6" t="s">
        <v>17</v>
      </c>
      <c r="C23" s="6">
        <v>157079</v>
      </c>
      <c r="D23" s="7">
        <v>4.9350649000000003E-2</v>
      </c>
      <c r="E23" s="4">
        <f t="shared" si="0"/>
        <v>7751.9505942710002</v>
      </c>
      <c r="F23" s="7">
        <v>35300</v>
      </c>
      <c r="G23" s="8"/>
      <c r="H23" s="8"/>
    </row>
    <row r="24" spans="1:15">
      <c r="A24" s="3" t="s">
        <v>41</v>
      </c>
      <c r="B24" s="3" t="s">
        <v>19</v>
      </c>
      <c r="C24" s="3">
        <v>503080</v>
      </c>
      <c r="D24" s="4">
        <v>4.7688237000000001E-2</v>
      </c>
      <c r="E24" s="4">
        <f t="shared" si="0"/>
        <v>23990.99826996</v>
      </c>
      <c r="F24" s="4">
        <v>75000</v>
      </c>
      <c r="G24" s="8"/>
      <c r="H24" s="8"/>
    </row>
    <row r="25" spans="1:15" ht="16" customHeight="1">
      <c r="A25" s="6" t="s">
        <v>42</v>
      </c>
      <c r="B25" s="6" t="s">
        <v>19</v>
      </c>
      <c r="C25" s="6">
        <v>65734</v>
      </c>
      <c r="D25" s="7">
        <v>4.1971308999999998E-2</v>
      </c>
      <c r="E25" s="4">
        <f t="shared" si="0"/>
        <v>2758.9420258059999</v>
      </c>
      <c r="F25" s="7">
        <v>80000</v>
      </c>
      <c r="G25" s="8"/>
      <c r="I25" s="20" t="s">
        <v>135</v>
      </c>
    </row>
    <row r="26" spans="1:15" ht="16" customHeight="1">
      <c r="A26" s="3" t="s">
        <v>43</v>
      </c>
      <c r="B26" s="3" t="s">
        <v>19</v>
      </c>
      <c r="C26" s="3">
        <v>32748</v>
      </c>
      <c r="D26" s="4">
        <v>5.8974061000000001E-2</v>
      </c>
      <c r="E26" s="4">
        <f t="shared" si="0"/>
        <v>1931.282549628</v>
      </c>
      <c r="F26" s="4">
        <v>62000</v>
      </c>
      <c r="G26" s="8"/>
      <c r="K26" t="s">
        <v>136</v>
      </c>
      <c r="L26" t="s">
        <v>137</v>
      </c>
      <c r="M26" t="s">
        <v>137</v>
      </c>
    </row>
    <row r="27" spans="1:15" ht="16" customHeight="1">
      <c r="A27" s="6" t="s">
        <v>44</v>
      </c>
      <c r="B27" s="6" t="s">
        <v>19</v>
      </c>
      <c r="C27" s="6">
        <v>19587</v>
      </c>
      <c r="D27" s="7">
        <v>6.9042770000000003E-2</v>
      </c>
      <c r="E27" s="4">
        <f t="shared" si="0"/>
        <v>1352.34073599</v>
      </c>
      <c r="F27" s="7">
        <v>78000</v>
      </c>
      <c r="G27" s="8"/>
      <c r="I27" s="16" t="s">
        <v>0</v>
      </c>
      <c r="J27" s="17" t="s">
        <v>45</v>
      </c>
      <c r="K27" s="17" t="s">
        <v>1</v>
      </c>
      <c r="L27" s="17" t="s">
        <v>46</v>
      </c>
      <c r="M27" s="17" t="s">
        <v>129</v>
      </c>
      <c r="N27" s="22" t="s">
        <v>47</v>
      </c>
    </row>
    <row r="28" spans="1:15">
      <c r="A28" s="3" t="s">
        <v>48</v>
      </c>
      <c r="B28" s="3" t="s">
        <v>19</v>
      </c>
      <c r="C28" s="3">
        <v>18347</v>
      </c>
      <c r="D28" s="4">
        <v>7.9035833999999999E-2</v>
      </c>
      <c r="E28" s="4">
        <f t="shared" si="0"/>
        <v>1450.0704463980001</v>
      </c>
      <c r="F28" s="4">
        <v>65000</v>
      </c>
      <c r="G28" s="8"/>
      <c r="I28" s="3" t="s">
        <v>11</v>
      </c>
      <c r="J28" s="11">
        <f>VLOOKUP(I28,$A$2:$F$108,4,0)</f>
        <v>3.0248324E-2</v>
      </c>
      <c r="K28" s="11" t="str">
        <f>VLOOKUP(I28, $A$2:$F$108,2,0)</f>
        <v>Agriculture &amp; Natural Resources</v>
      </c>
      <c r="L28" s="11">
        <f>SUMIF($B$2:$B$108,K28,$C$2:$C$108)</f>
        <v>360978</v>
      </c>
      <c r="M28" s="11">
        <f>SUMIF($B$2:$B$108,K28,$E$2:$E$108)</f>
        <v>11526.899557442001</v>
      </c>
      <c r="N28" s="11">
        <v>3.1932415707998825E-2</v>
      </c>
    </row>
    <row r="29" spans="1:15">
      <c r="A29" s="6" t="s">
        <v>49</v>
      </c>
      <c r="B29" s="6" t="s">
        <v>19</v>
      </c>
      <c r="C29" s="6">
        <v>188046</v>
      </c>
      <c r="D29" s="7">
        <v>4.6261361000000001E-2</v>
      </c>
      <c r="E29" s="4">
        <f t="shared" si="0"/>
        <v>8699.2638906060001</v>
      </c>
      <c r="F29" s="7">
        <v>86000</v>
      </c>
      <c r="G29" s="8"/>
      <c r="I29" s="3" t="s">
        <v>50</v>
      </c>
      <c r="J29" s="11">
        <f t="shared" ref="J29:J41" si="3">VLOOKUP(I29,$A$2:$F$108,4,0)</f>
        <v>5.930117E-2</v>
      </c>
      <c r="K29" s="11" t="str">
        <f t="shared" ref="K29:K41" si="4">VLOOKUP(I29, $A$2:$F$108,2,0)</f>
        <v>Biology &amp; Life Science</v>
      </c>
      <c r="L29" s="11">
        <f t="shared" ref="L29:L41" si="5">SUMIF($B$2:$B$108,K29,$C$2:$C$108)</f>
        <v>1232080</v>
      </c>
      <c r="M29" s="11">
        <f t="shared" ref="M29:M41" si="6">SUMIF($B$2:$B$108,K29,$E$2:$E$108)</f>
        <v>71037.076332454002</v>
      </c>
      <c r="N29" s="11">
        <v>5.765622064513181E-2</v>
      </c>
    </row>
    <row r="30" spans="1:15">
      <c r="A30" s="3" t="s">
        <v>51</v>
      </c>
      <c r="B30" s="3" t="s">
        <v>19</v>
      </c>
      <c r="C30" s="3">
        <v>358593</v>
      </c>
      <c r="D30" s="4">
        <v>5.3386588999999998E-2</v>
      </c>
      <c r="E30" s="4">
        <f t="shared" si="0"/>
        <v>19144.057109277001</v>
      </c>
      <c r="F30" s="4">
        <v>78000</v>
      </c>
      <c r="G30" s="8"/>
      <c r="I30" s="3" t="s">
        <v>48</v>
      </c>
      <c r="J30" s="11">
        <f t="shared" si="3"/>
        <v>7.9035833999999999E-2</v>
      </c>
      <c r="K30" s="11" t="str">
        <f t="shared" si="4"/>
        <v>Engineering</v>
      </c>
      <c r="L30" s="11">
        <f t="shared" si="5"/>
        <v>2793129</v>
      </c>
      <c r="M30" s="11">
        <f t="shared" si="6"/>
        <v>137088.61753158798</v>
      </c>
      <c r="N30" s="11">
        <v>4.9080660983287193E-2</v>
      </c>
    </row>
    <row r="31" spans="1:15">
      <c r="A31" s="6" t="s">
        <v>52</v>
      </c>
      <c r="B31" s="6" t="s">
        <v>19</v>
      </c>
      <c r="C31" s="6">
        <v>154160</v>
      </c>
      <c r="D31" s="7">
        <v>5.4743829000000001E-2</v>
      </c>
      <c r="E31" s="4">
        <f t="shared" si="0"/>
        <v>8439.3086786399999</v>
      </c>
      <c r="F31" s="7">
        <v>80000</v>
      </c>
      <c r="G31" s="8"/>
      <c r="I31" s="3" t="s">
        <v>27</v>
      </c>
      <c r="J31" s="11">
        <f t="shared" si="3"/>
        <v>4.9518657000000001E-2</v>
      </c>
      <c r="K31" s="11" t="str">
        <f t="shared" si="4"/>
        <v>Computers &amp; Mathematics</v>
      </c>
      <c r="L31" s="11">
        <f t="shared" si="5"/>
        <v>1297470</v>
      </c>
      <c r="M31" s="11">
        <f t="shared" si="6"/>
        <v>56820.269649646994</v>
      </c>
      <c r="N31" s="11">
        <v>4.3793127894785233E-2</v>
      </c>
    </row>
    <row r="32" spans="1:15">
      <c r="A32" s="3" t="s">
        <v>53</v>
      </c>
      <c r="B32" s="3" t="s">
        <v>19</v>
      </c>
      <c r="C32" s="3">
        <v>671647</v>
      </c>
      <c r="D32" s="4">
        <v>5.0508788999999998E-2</v>
      </c>
      <c r="E32" s="4">
        <f t="shared" si="0"/>
        <v>33924.076605483002</v>
      </c>
      <c r="F32" s="4">
        <v>88000</v>
      </c>
      <c r="G32" s="8"/>
      <c r="I32" s="6" t="s">
        <v>54</v>
      </c>
      <c r="J32" s="11">
        <f t="shared" si="3"/>
        <v>8.0273730000000001E-2</v>
      </c>
      <c r="K32" s="11" t="str">
        <f t="shared" si="4"/>
        <v>Arts</v>
      </c>
      <c r="L32" s="11">
        <f t="shared" si="5"/>
        <v>1805865</v>
      </c>
      <c r="M32" s="11">
        <f t="shared" si="6"/>
        <v>132255.02832144999</v>
      </c>
      <c r="N32" s="11">
        <v>7.3236387172601489E-2</v>
      </c>
    </row>
    <row r="33" spans="1:14">
      <c r="A33" s="6" t="s">
        <v>55</v>
      </c>
      <c r="B33" s="6" t="s">
        <v>19</v>
      </c>
      <c r="C33" s="6">
        <v>20582</v>
      </c>
      <c r="D33" s="7">
        <v>4.3804515000000002E-2</v>
      </c>
      <c r="E33" s="4">
        <f t="shared" si="0"/>
        <v>901.58452772999999</v>
      </c>
      <c r="F33" s="7">
        <v>65000</v>
      </c>
      <c r="G33" s="8"/>
      <c r="I33" s="6" t="s">
        <v>56</v>
      </c>
      <c r="J33" s="11">
        <f t="shared" si="3"/>
        <v>6.1312717000000003E-2</v>
      </c>
      <c r="K33" s="11" t="str">
        <f t="shared" si="4"/>
        <v>Social Science</v>
      </c>
      <c r="L33" s="11">
        <f t="shared" si="5"/>
        <v>2592254</v>
      </c>
      <c r="M33" s="11">
        <f t="shared" si="6"/>
        <v>170962.062063549</v>
      </c>
      <c r="N33" s="11">
        <v>6.595112286972997E-2</v>
      </c>
    </row>
    <row r="34" spans="1:14">
      <c r="A34" s="3" t="s">
        <v>57</v>
      </c>
      <c r="B34" s="3" t="s">
        <v>19</v>
      </c>
      <c r="C34" s="3">
        <v>13016</v>
      </c>
      <c r="D34" s="4">
        <v>4.5732003E-2</v>
      </c>
      <c r="E34" s="4">
        <f t="shared" si="0"/>
        <v>595.24775104800005</v>
      </c>
      <c r="F34" s="4">
        <v>70000</v>
      </c>
      <c r="G34" s="8"/>
      <c r="I34" s="3" t="s">
        <v>53</v>
      </c>
      <c r="J34" s="11">
        <f t="shared" si="3"/>
        <v>5.0508788999999998E-2</v>
      </c>
      <c r="K34" s="11" t="str">
        <f t="shared" si="4"/>
        <v>Engineering</v>
      </c>
      <c r="L34" s="11">
        <f t="shared" si="5"/>
        <v>2793129</v>
      </c>
      <c r="M34" s="11">
        <f t="shared" si="6"/>
        <v>137088.61753158798</v>
      </c>
      <c r="N34" s="11">
        <v>4.9080660983287193E-2</v>
      </c>
    </row>
    <row r="35" spans="1:14">
      <c r="A35" s="6" t="s">
        <v>58</v>
      </c>
      <c r="B35" s="6" t="s">
        <v>19</v>
      </c>
      <c r="C35" s="6">
        <v>6264</v>
      </c>
      <c r="D35" s="7">
        <v>0</v>
      </c>
      <c r="E35" s="4">
        <f t="shared" si="0"/>
        <v>0</v>
      </c>
      <c r="F35" s="7">
        <v>85000</v>
      </c>
      <c r="G35" s="8"/>
      <c r="I35" s="6" t="s">
        <v>59</v>
      </c>
      <c r="J35" s="11">
        <f t="shared" si="3"/>
        <v>6.8645304000000004E-2</v>
      </c>
      <c r="K35" s="11" t="str">
        <f t="shared" si="4"/>
        <v>Humanities &amp; Liberal Arts</v>
      </c>
      <c r="L35" s="11">
        <f t="shared" si="5"/>
        <v>2175193</v>
      </c>
      <c r="M35" s="11">
        <f t="shared" si="6"/>
        <v>148244.14889781602</v>
      </c>
      <c r="N35" s="11">
        <v>6.8152181851364929E-2</v>
      </c>
    </row>
    <row r="36" spans="1:14">
      <c r="A36" s="3" t="s">
        <v>60</v>
      </c>
      <c r="B36" s="3" t="s">
        <v>19</v>
      </c>
      <c r="C36" s="3">
        <v>138366</v>
      </c>
      <c r="D36" s="4">
        <v>5.1493382999999997E-2</v>
      </c>
      <c r="E36" s="4">
        <f t="shared" si="0"/>
        <v>7124.9334321779997</v>
      </c>
      <c r="F36" s="4">
        <v>75000</v>
      </c>
      <c r="G36" s="8"/>
      <c r="I36" s="6" t="s">
        <v>33</v>
      </c>
      <c r="J36" s="11">
        <f t="shared" si="3"/>
        <v>4.3903517000000003E-2</v>
      </c>
      <c r="K36" s="11" t="str">
        <f t="shared" si="4"/>
        <v>Education</v>
      </c>
      <c r="L36" s="11">
        <f t="shared" si="5"/>
        <v>3399549</v>
      </c>
      <c r="M36" s="11">
        <f t="shared" si="6"/>
        <v>141962.38966110401</v>
      </c>
      <c r="N36" s="11">
        <v>4.1759183250808858E-2</v>
      </c>
    </row>
    <row r="37" spans="1:14">
      <c r="A37" s="6" t="s">
        <v>61</v>
      </c>
      <c r="B37" s="6" t="s">
        <v>19</v>
      </c>
      <c r="C37" s="6">
        <v>21430</v>
      </c>
      <c r="D37" s="7">
        <v>5.9731114000000002E-2</v>
      </c>
      <c r="E37" s="4">
        <f t="shared" si="0"/>
        <v>1280.03777302</v>
      </c>
      <c r="F37" s="7">
        <v>78000</v>
      </c>
      <c r="G37" s="8"/>
      <c r="I37" s="6" t="s">
        <v>62</v>
      </c>
      <c r="J37" s="11">
        <f t="shared" si="3"/>
        <v>5.4700627000000002E-2</v>
      </c>
      <c r="K37" s="11" t="str">
        <f t="shared" si="4"/>
        <v>Health</v>
      </c>
      <c r="L37" s="11">
        <f t="shared" si="5"/>
        <v>2886325</v>
      </c>
      <c r="M37" s="11">
        <f t="shared" si="6"/>
        <v>93832.336213713003</v>
      </c>
      <c r="N37" s="11">
        <v>3.2509276056477701E-2</v>
      </c>
    </row>
    <row r="38" spans="1:14">
      <c r="A38" s="3" t="s">
        <v>63</v>
      </c>
      <c r="B38" s="3" t="s">
        <v>19</v>
      </c>
      <c r="C38" s="3">
        <v>581529</v>
      </c>
      <c r="D38" s="4">
        <v>4.3843856E-2</v>
      </c>
      <c r="E38" s="4">
        <f t="shared" si="0"/>
        <v>25496.473735824002</v>
      </c>
      <c r="F38" s="4">
        <v>80000</v>
      </c>
      <c r="G38" s="8"/>
      <c r="I38" s="6" t="s">
        <v>64</v>
      </c>
      <c r="J38" s="11">
        <f t="shared" si="3"/>
        <v>7.0313269999999997E-2</v>
      </c>
      <c r="K38" s="11" t="str">
        <f t="shared" si="4"/>
        <v>Social Science</v>
      </c>
      <c r="L38" s="11">
        <f t="shared" si="5"/>
        <v>2592254</v>
      </c>
      <c r="M38" s="11">
        <f t="shared" si="6"/>
        <v>170962.062063549</v>
      </c>
      <c r="N38" s="11">
        <v>6.595112286972997E-2</v>
      </c>
    </row>
    <row r="39" spans="1:14">
      <c r="A39" s="6" t="s">
        <v>65</v>
      </c>
      <c r="B39" s="6" t="s">
        <v>21</v>
      </c>
      <c r="C39" s="6">
        <v>75791</v>
      </c>
      <c r="D39" s="7">
        <v>8.1348088999999998E-2</v>
      </c>
      <c r="E39" s="4">
        <f t="shared" si="0"/>
        <v>6165.4530133990002</v>
      </c>
      <c r="F39" s="7">
        <v>48000</v>
      </c>
      <c r="G39" s="8"/>
      <c r="I39" s="3" t="s">
        <v>63</v>
      </c>
      <c r="J39" s="11">
        <f t="shared" si="3"/>
        <v>4.3843856E-2</v>
      </c>
      <c r="K39" s="11" t="str">
        <f t="shared" si="4"/>
        <v>Engineering</v>
      </c>
      <c r="L39" s="11">
        <f t="shared" si="5"/>
        <v>2793129</v>
      </c>
      <c r="M39" s="11">
        <f t="shared" si="6"/>
        <v>137088.61753158798</v>
      </c>
      <c r="N39" s="11">
        <v>4.9080660983287193E-2</v>
      </c>
    </row>
    <row r="40" spans="1:14">
      <c r="A40" s="3" t="s">
        <v>66</v>
      </c>
      <c r="B40" s="3" t="s">
        <v>21</v>
      </c>
      <c r="C40" s="3">
        <v>236342</v>
      </c>
      <c r="D40" s="4">
        <v>5.8792542000000003E-2</v>
      </c>
      <c r="E40" s="4">
        <f t="shared" si="0"/>
        <v>13895.146961364</v>
      </c>
      <c r="F40" s="4">
        <v>48000</v>
      </c>
      <c r="G40" s="8"/>
      <c r="I40" s="6" t="s">
        <v>67</v>
      </c>
      <c r="J40" s="11">
        <f t="shared" si="3"/>
        <v>2.6796818E-2</v>
      </c>
      <c r="K40" s="11" t="str">
        <f t="shared" si="4"/>
        <v>Health</v>
      </c>
      <c r="L40" s="11">
        <f t="shared" si="5"/>
        <v>2886325</v>
      </c>
      <c r="M40" s="11">
        <f t="shared" si="6"/>
        <v>93832.336213713003</v>
      </c>
      <c r="N40" s="11">
        <v>3.2509276056477701E-2</v>
      </c>
    </row>
    <row r="41" spans="1:14">
      <c r="A41" s="6" t="s">
        <v>68</v>
      </c>
      <c r="B41" s="6" t="s">
        <v>21</v>
      </c>
      <c r="C41" s="6">
        <v>57793</v>
      </c>
      <c r="D41" s="7">
        <v>7.2373874000000005E-2</v>
      </c>
      <c r="E41" s="4">
        <f t="shared" si="0"/>
        <v>4182.7033000820002</v>
      </c>
      <c r="F41" s="7">
        <v>45000</v>
      </c>
      <c r="G41" s="8"/>
      <c r="I41" s="3" t="s">
        <v>69</v>
      </c>
      <c r="J41" s="11">
        <f t="shared" si="3"/>
        <v>6.9666584000000004E-2</v>
      </c>
      <c r="K41" s="11" t="str">
        <f t="shared" si="4"/>
        <v>Psychology &amp; Social Work</v>
      </c>
      <c r="L41" s="11">
        <f t="shared" si="5"/>
        <v>1586329</v>
      </c>
      <c r="M41" s="11">
        <f t="shared" si="6"/>
        <v>111685.15555148102</v>
      </c>
      <c r="N41" s="11">
        <v>7.0404787122646695E-2</v>
      </c>
    </row>
    <row r="42" spans="1:14">
      <c r="A42" s="6" t="s">
        <v>59</v>
      </c>
      <c r="B42" s="6" t="s">
        <v>21</v>
      </c>
      <c r="C42" s="6">
        <v>1098647</v>
      </c>
      <c r="D42" s="7">
        <v>6.8645304000000004E-2</v>
      </c>
      <c r="E42" s="4">
        <f t="shared" si="0"/>
        <v>75416.957303688003</v>
      </c>
      <c r="F42" s="7">
        <v>50000</v>
      </c>
      <c r="G42" s="8"/>
    </row>
    <row r="43" spans="1:14">
      <c r="A43" s="3" t="s">
        <v>70</v>
      </c>
      <c r="B43" s="3" t="s">
        <v>21</v>
      </c>
      <c r="C43" s="3">
        <v>59211</v>
      </c>
      <c r="D43" s="4">
        <v>7.3614949999999998E-2</v>
      </c>
      <c r="E43" s="4">
        <f t="shared" si="0"/>
        <v>4358.8148044500003</v>
      </c>
      <c r="F43" s="4">
        <v>40000</v>
      </c>
      <c r="G43" s="8"/>
    </row>
    <row r="44" spans="1:14">
      <c r="A44" s="6" t="s">
        <v>71</v>
      </c>
      <c r="B44" s="6" t="s">
        <v>21</v>
      </c>
      <c r="C44" s="6">
        <v>601221</v>
      </c>
      <c r="D44" s="7">
        <v>6.7578521000000003E-2</v>
      </c>
      <c r="E44" s="4">
        <f t="shared" si="0"/>
        <v>40629.625974141003</v>
      </c>
      <c r="F44" s="7">
        <v>50000</v>
      </c>
      <c r="G44" s="8"/>
    </row>
    <row r="45" spans="1:14">
      <c r="A45" s="3" t="s">
        <v>72</v>
      </c>
      <c r="B45" s="3" t="s">
        <v>21</v>
      </c>
      <c r="C45" s="3">
        <v>46188</v>
      </c>
      <c r="D45" s="4">
        <v>7.7843758999999998E-2</v>
      </c>
      <c r="E45" s="4">
        <f t="shared" si="0"/>
        <v>3595.4475406920001</v>
      </c>
      <c r="F45" s="4">
        <v>46700</v>
      </c>
      <c r="G45" s="8"/>
    </row>
    <row r="46" spans="1:14">
      <c r="A46" s="3" t="s">
        <v>50</v>
      </c>
      <c r="B46" s="3" t="s">
        <v>23</v>
      </c>
      <c r="C46" s="3">
        <v>839454</v>
      </c>
      <c r="D46" s="4">
        <v>5.930117E-2</v>
      </c>
      <c r="E46" s="4">
        <f t="shared" si="0"/>
        <v>49780.604361179998</v>
      </c>
      <c r="F46" s="4">
        <v>51000</v>
      </c>
      <c r="G46" s="8"/>
    </row>
    <row r="47" spans="1:14">
      <c r="A47" s="6" t="s">
        <v>73</v>
      </c>
      <c r="B47" s="6" t="s">
        <v>23</v>
      </c>
      <c r="C47" s="6">
        <v>75322</v>
      </c>
      <c r="D47" s="7">
        <v>7.1597528999999993E-2</v>
      </c>
      <c r="E47" s="4">
        <f t="shared" si="0"/>
        <v>5392.8690793379992</v>
      </c>
      <c r="F47" s="7">
        <v>53000</v>
      </c>
      <c r="G47" s="8"/>
    </row>
    <row r="48" spans="1:14">
      <c r="A48" s="3" t="s">
        <v>74</v>
      </c>
      <c r="B48" s="3" t="s">
        <v>23</v>
      </c>
      <c r="C48" s="3">
        <v>14135</v>
      </c>
      <c r="D48" s="4">
        <v>3.4023514999999997E-2</v>
      </c>
      <c r="E48" s="4">
        <f t="shared" si="0"/>
        <v>480.92238452499998</v>
      </c>
      <c r="F48" s="4">
        <v>50000</v>
      </c>
      <c r="G48" s="8"/>
    </row>
    <row r="49" spans="1:7">
      <c r="A49" s="6" t="s">
        <v>75</v>
      </c>
      <c r="B49" s="6" t="s">
        <v>23</v>
      </c>
      <c r="C49" s="6">
        <v>28197</v>
      </c>
      <c r="D49" s="7">
        <v>6.0537075000000003E-2</v>
      </c>
      <c r="E49" s="4">
        <f t="shared" si="0"/>
        <v>1706.9639037750001</v>
      </c>
      <c r="F49" s="7">
        <v>45000</v>
      </c>
      <c r="G49" s="8"/>
    </row>
    <row r="50" spans="1:7">
      <c r="A50" s="3" t="s">
        <v>76</v>
      </c>
      <c r="B50" s="3" t="s">
        <v>23</v>
      </c>
      <c r="C50" s="3">
        <v>45368</v>
      </c>
      <c r="D50" s="4">
        <v>4.8916986000000003E-2</v>
      </c>
      <c r="E50" s="4">
        <f t="shared" si="0"/>
        <v>2219.2658208480002</v>
      </c>
      <c r="F50" s="4">
        <v>47500</v>
      </c>
      <c r="G50" s="8"/>
    </row>
    <row r="51" spans="1:7">
      <c r="A51" s="6" t="s">
        <v>77</v>
      </c>
      <c r="B51" s="6" t="s">
        <v>23</v>
      </c>
      <c r="C51" s="6">
        <v>6362</v>
      </c>
      <c r="D51" s="7">
        <v>4.1590954999999999E-2</v>
      </c>
      <c r="E51" s="4">
        <f t="shared" si="0"/>
        <v>264.60165570999999</v>
      </c>
      <c r="F51" s="7">
        <v>48000</v>
      </c>
      <c r="G51" s="8"/>
    </row>
    <row r="52" spans="1:7">
      <c r="A52" s="3" t="s">
        <v>78</v>
      </c>
      <c r="B52" s="3" t="s">
        <v>23</v>
      </c>
      <c r="C52" s="3">
        <v>68885</v>
      </c>
      <c r="D52" s="4">
        <v>5.0880749000000003E-2</v>
      </c>
      <c r="E52" s="4">
        <f t="shared" si="0"/>
        <v>3504.9203948650002</v>
      </c>
      <c r="F52" s="4">
        <v>60000</v>
      </c>
      <c r="G52" s="8"/>
    </row>
    <row r="53" spans="1:7">
      <c r="A53" s="6" t="s">
        <v>79</v>
      </c>
      <c r="B53" s="6" t="s">
        <v>23</v>
      </c>
      <c r="C53" s="6">
        <v>5015</v>
      </c>
      <c r="D53" s="7">
        <v>1.6110797E-2</v>
      </c>
      <c r="E53" s="4">
        <f t="shared" si="0"/>
        <v>80.795646954999995</v>
      </c>
      <c r="F53" s="7">
        <v>60000</v>
      </c>
      <c r="G53" s="8"/>
    </row>
    <row r="54" spans="1:7">
      <c r="A54" s="3" t="s">
        <v>80</v>
      </c>
      <c r="B54" s="3" t="s">
        <v>23</v>
      </c>
      <c r="C54" s="3">
        <v>43984</v>
      </c>
      <c r="D54" s="4">
        <v>5.1139455E-2</v>
      </c>
      <c r="E54" s="4">
        <f t="shared" si="0"/>
        <v>2249.31778872</v>
      </c>
      <c r="F54" s="4">
        <v>50000</v>
      </c>
      <c r="G54" s="8"/>
    </row>
    <row r="55" spans="1:7">
      <c r="A55" s="6" t="s">
        <v>81</v>
      </c>
      <c r="B55" s="6" t="s">
        <v>23</v>
      </c>
      <c r="C55" s="6">
        <v>55395</v>
      </c>
      <c r="D55" s="7">
        <v>4.8362599999999999E-2</v>
      </c>
      <c r="E55" s="4">
        <f t="shared" si="0"/>
        <v>2679.0462269999998</v>
      </c>
      <c r="F55" s="7">
        <v>55000</v>
      </c>
      <c r="G55" s="8"/>
    </row>
    <row r="56" spans="1:7">
      <c r="A56" s="3" t="s">
        <v>82</v>
      </c>
      <c r="B56" s="3" t="s">
        <v>23</v>
      </c>
      <c r="C56" s="3">
        <v>13676</v>
      </c>
      <c r="D56" s="4">
        <v>6.8897637999999997E-2</v>
      </c>
      <c r="E56" s="4">
        <f t="shared" si="0"/>
        <v>942.24409728799992</v>
      </c>
      <c r="F56" s="4">
        <v>35000</v>
      </c>
      <c r="G56" s="8"/>
    </row>
    <row r="57" spans="1:7">
      <c r="A57" s="6" t="s">
        <v>83</v>
      </c>
      <c r="B57" s="6" t="s">
        <v>23</v>
      </c>
      <c r="C57" s="6">
        <v>29389</v>
      </c>
      <c r="D57" s="7">
        <v>4.7582435999999999E-2</v>
      </c>
      <c r="E57" s="4">
        <f t="shared" si="0"/>
        <v>1398.4002116039999</v>
      </c>
      <c r="F57" s="7">
        <v>52000</v>
      </c>
      <c r="G57" s="8"/>
    </row>
    <row r="58" spans="1:7">
      <c r="A58" s="3" t="s">
        <v>84</v>
      </c>
      <c r="B58" s="3" t="s">
        <v>23</v>
      </c>
      <c r="C58" s="3">
        <v>6898</v>
      </c>
      <c r="D58" s="4">
        <v>4.8872827000000001E-2</v>
      </c>
      <c r="E58" s="4">
        <f t="shared" si="0"/>
        <v>337.12476064600003</v>
      </c>
      <c r="F58" s="4">
        <v>53000</v>
      </c>
      <c r="G58" s="8"/>
    </row>
    <row r="59" spans="1:7">
      <c r="A59" s="6" t="s">
        <v>85</v>
      </c>
      <c r="B59" s="6" t="s">
        <v>24</v>
      </c>
      <c r="C59" s="6">
        <v>8856</v>
      </c>
      <c r="D59" s="7">
        <v>3.8952537000000002E-2</v>
      </c>
      <c r="E59" s="4">
        <f t="shared" si="0"/>
        <v>344.96366767200004</v>
      </c>
      <c r="F59" s="7">
        <v>60000</v>
      </c>
      <c r="G59" s="8"/>
    </row>
    <row r="60" spans="1:7">
      <c r="A60" s="3" t="s">
        <v>86</v>
      </c>
      <c r="B60" s="3" t="s">
        <v>24</v>
      </c>
      <c r="C60" s="3">
        <v>4700</v>
      </c>
      <c r="D60" s="4">
        <v>8.6021504999999998E-2</v>
      </c>
      <c r="E60" s="4">
        <f t="shared" si="0"/>
        <v>404.30107349999997</v>
      </c>
      <c r="F60" s="4">
        <v>80000</v>
      </c>
      <c r="G60" s="8"/>
    </row>
    <row r="61" spans="1:7">
      <c r="A61" s="6" t="s">
        <v>87</v>
      </c>
      <c r="B61" s="6" t="s">
        <v>24</v>
      </c>
      <c r="C61" s="6">
        <v>14051</v>
      </c>
      <c r="D61" s="7">
        <v>3.6726307999999999E-2</v>
      </c>
      <c r="E61" s="4">
        <f t="shared" si="0"/>
        <v>516.04135370799997</v>
      </c>
      <c r="F61" s="7">
        <v>60000</v>
      </c>
      <c r="G61" s="8"/>
    </row>
    <row r="62" spans="1:7">
      <c r="A62" s="3" t="s">
        <v>88</v>
      </c>
      <c r="B62" s="3" t="s">
        <v>24</v>
      </c>
      <c r="C62" s="3">
        <v>308062</v>
      </c>
      <c r="D62" s="4">
        <v>5.4728623999999997E-2</v>
      </c>
      <c r="E62" s="4">
        <f t="shared" si="0"/>
        <v>16859.809366687998</v>
      </c>
      <c r="F62" s="4">
        <v>59000</v>
      </c>
      <c r="G62" s="8"/>
    </row>
    <row r="63" spans="1:7">
      <c r="A63" s="6" t="s">
        <v>89</v>
      </c>
      <c r="B63" s="6" t="s">
        <v>24</v>
      </c>
      <c r="C63" s="6">
        <v>107902</v>
      </c>
      <c r="D63" s="7">
        <v>6.5110534999999997E-2</v>
      </c>
      <c r="E63" s="4">
        <f t="shared" si="0"/>
        <v>7025.5569475699995</v>
      </c>
      <c r="F63" s="7">
        <v>65000</v>
      </c>
      <c r="G63" s="8"/>
    </row>
    <row r="64" spans="1:7">
      <c r="A64" s="3" t="s">
        <v>90</v>
      </c>
      <c r="B64" s="3" t="s">
        <v>24</v>
      </c>
      <c r="C64" s="3">
        <v>8267</v>
      </c>
      <c r="D64" s="4">
        <v>4.2792441000000001E-2</v>
      </c>
      <c r="E64" s="4">
        <f t="shared" si="0"/>
        <v>353.765109747</v>
      </c>
      <c r="F64" s="4">
        <v>57000</v>
      </c>
      <c r="G64" s="8"/>
    </row>
    <row r="65" spans="1:7">
      <c r="A65" s="6" t="s">
        <v>91</v>
      </c>
      <c r="B65" s="6" t="s">
        <v>24</v>
      </c>
      <c r="C65" s="6">
        <v>10741</v>
      </c>
      <c r="D65" s="7">
        <v>5.3895090999999999E-2</v>
      </c>
      <c r="E65" s="4">
        <f t="shared" si="0"/>
        <v>578.88717243099995</v>
      </c>
      <c r="F65" s="7">
        <v>55000</v>
      </c>
      <c r="G65" s="8"/>
    </row>
    <row r="66" spans="1:7">
      <c r="A66" s="3" t="s">
        <v>92</v>
      </c>
      <c r="B66" s="3" t="s">
        <v>24</v>
      </c>
      <c r="C66" s="3">
        <v>122620</v>
      </c>
      <c r="D66" s="4">
        <v>5.2090055000000003E-2</v>
      </c>
      <c r="E66" s="4">
        <f t="shared" si="0"/>
        <v>6387.2825441000005</v>
      </c>
      <c r="F66" s="4">
        <v>70000</v>
      </c>
      <c r="G66" s="8"/>
    </row>
    <row r="67" spans="1:7">
      <c r="A67" s="3" t="s">
        <v>93</v>
      </c>
      <c r="B67" s="3" t="s">
        <v>24</v>
      </c>
      <c r="C67" s="3">
        <v>427953</v>
      </c>
      <c r="D67" s="4">
        <v>4.5231123999999998E-2</v>
      </c>
      <c r="E67" s="4">
        <f t="shared" si="0"/>
        <v>19356.795209172</v>
      </c>
      <c r="F67" s="4">
        <v>56000</v>
      </c>
      <c r="G67" s="8"/>
    </row>
    <row r="68" spans="1:7">
      <c r="A68" s="6" t="s">
        <v>94</v>
      </c>
      <c r="B68" s="6" t="s">
        <v>24</v>
      </c>
      <c r="C68" s="6">
        <v>12166</v>
      </c>
      <c r="D68" s="7">
        <v>6.9857949000000003E-2</v>
      </c>
      <c r="E68" s="4">
        <f t="shared" ref="E68:E108" si="7">C68*D68</f>
        <v>849.89180753400001</v>
      </c>
      <c r="F68" s="7">
        <v>62000</v>
      </c>
      <c r="G68" s="8"/>
    </row>
    <row r="69" spans="1:7">
      <c r="A69" s="3" t="s">
        <v>69</v>
      </c>
      <c r="B69" s="3" t="s">
        <v>26</v>
      </c>
      <c r="C69" s="3">
        <v>1484075</v>
      </c>
      <c r="D69" s="4">
        <v>6.9666584000000004E-2</v>
      </c>
      <c r="E69" s="4">
        <f t="shared" si="7"/>
        <v>103390.43564980001</v>
      </c>
      <c r="F69" s="4">
        <v>45000</v>
      </c>
      <c r="G69" s="8"/>
    </row>
    <row r="70" spans="1:7">
      <c r="A70" s="6" t="s">
        <v>95</v>
      </c>
      <c r="B70" s="6" t="s">
        <v>26</v>
      </c>
      <c r="C70" s="6">
        <v>14041</v>
      </c>
      <c r="D70" s="7">
        <v>7.5631139999999999E-2</v>
      </c>
      <c r="E70" s="4">
        <f t="shared" si="7"/>
        <v>1061.93683674</v>
      </c>
      <c r="F70" s="7">
        <v>40000</v>
      </c>
      <c r="G70" s="8"/>
    </row>
    <row r="71" spans="1:7">
      <c r="A71" s="3" t="s">
        <v>96</v>
      </c>
      <c r="B71" s="3" t="s">
        <v>26</v>
      </c>
      <c r="C71" s="3">
        <v>7638</v>
      </c>
      <c r="D71" s="4">
        <v>0.102712161</v>
      </c>
      <c r="E71" s="4">
        <f t="shared" si="7"/>
        <v>784.51548571799992</v>
      </c>
      <c r="F71" s="4">
        <v>45000</v>
      </c>
      <c r="G71" s="8"/>
    </row>
    <row r="72" spans="1:7">
      <c r="A72" s="6" t="s">
        <v>97</v>
      </c>
      <c r="B72" s="6" t="s">
        <v>26</v>
      </c>
      <c r="C72" s="6">
        <v>17633</v>
      </c>
      <c r="D72" s="7">
        <v>6.8021390000000001E-2</v>
      </c>
      <c r="E72" s="4">
        <f t="shared" si="7"/>
        <v>1199.4211698700001</v>
      </c>
      <c r="F72" s="7">
        <v>39000</v>
      </c>
      <c r="G72" s="8"/>
    </row>
    <row r="73" spans="1:7">
      <c r="A73" s="3" t="s">
        <v>98</v>
      </c>
      <c r="B73" s="3" t="s">
        <v>26</v>
      </c>
      <c r="C73" s="3">
        <v>17969</v>
      </c>
      <c r="D73" s="4">
        <v>8.362907E-2</v>
      </c>
      <c r="E73" s="4">
        <f t="shared" si="7"/>
        <v>1502.73075883</v>
      </c>
      <c r="F73" s="4">
        <v>62000</v>
      </c>
      <c r="G73" s="8"/>
    </row>
    <row r="74" spans="1:7">
      <c r="A74" s="6" t="s">
        <v>99</v>
      </c>
      <c r="B74" s="6" t="s">
        <v>26</v>
      </c>
      <c r="C74" s="6">
        <v>10871</v>
      </c>
      <c r="D74" s="7">
        <v>8.7336245000000007E-2</v>
      </c>
      <c r="E74" s="4">
        <f t="shared" si="7"/>
        <v>949.43231939500004</v>
      </c>
      <c r="F74" s="7">
        <v>47000</v>
      </c>
      <c r="G74" s="8"/>
    </row>
    <row r="75" spans="1:7">
      <c r="A75" s="3" t="s">
        <v>100</v>
      </c>
      <c r="B75" s="3" t="s">
        <v>26</v>
      </c>
      <c r="C75" s="3">
        <v>34102</v>
      </c>
      <c r="D75" s="4">
        <v>8.2009364000000001E-2</v>
      </c>
      <c r="E75" s="4">
        <f t="shared" si="7"/>
        <v>2796.6833311280002</v>
      </c>
      <c r="F75" s="4">
        <v>45000</v>
      </c>
      <c r="G75" s="8"/>
    </row>
    <row r="76" spans="1:7">
      <c r="A76" s="6" t="s">
        <v>101</v>
      </c>
      <c r="B76" s="6" t="s">
        <v>28</v>
      </c>
      <c r="C76" s="6">
        <v>757141</v>
      </c>
      <c r="D76" s="7">
        <v>5.4035589000000002E-2</v>
      </c>
      <c r="E76" s="4">
        <f t="shared" si="7"/>
        <v>40912.559891049001</v>
      </c>
      <c r="F76" s="7">
        <v>50000</v>
      </c>
      <c r="G76" s="8"/>
    </row>
    <row r="77" spans="1:7">
      <c r="A77" s="3" t="s">
        <v>102</v>
      </c>
      <c r="B77" s="3" t="s">
        <v>28</v>
      </c>
      <c r="C77" s="3">
        <v>54636</v>
      </c>
      <c r="D77" s="4">
        <v>6.9654917999999996E-2</v>
      </c>
      <c r="E77" s="4">
        <f t="shared" si="7"/>
        <v>3805.6660998479997</v>
      </c>
      <c r="F77" s="4">
        <v>56000</v>
      </c>
      <c r="G77" s="8"/>
    </row>
    <row r="78" spans="1:7">
      <c r="A78" s="6" t="s">
        <v>103</v>
      </c>
      <c r="B78" s="6" t="s">
        <v>28</v>
      </c>
      <c r="C78" s="6">
        <v>14782</v>
      </c>
      <c r="D78" s="7">
        <v>7.9216916999999998E-2</v>
      </c>
      <c r="E78" s="4">
        <f t="shared" si="7"/>
        <v>1170.9844670939999</v>
      </c>
      <c r="F78" s="7">
        <v>60000</v>
      </c>
      <c r="G78" s="8"/>
    </row>
    <row r="79" spans="1:7">
      <c r="A79" s="3" t="s">
        <v>104</v>
      </c>
      <c r="B79" s="3" t="s">
        <v>30</v>
      </c>
      <c r="C79" s="3">
        <v>127363</v>
      </c>
      <c r="D79" s="4">
        <v>7.1056931000000004E-2</v>
      </c>
      <c r="E79" s="4">
        <f t="shared" si="7"/>
        <v>9050.0239029530003</v>
      </c>
      <c r="F79" s="4">
        <v>50000</v>
      </c>
      <c r="G79" s="8"/>
    </row>
    <row r="80" spans="1:7">
      <c r="A80" s="6" t="s">
        <v>56</v>
      </c>
      <c r="B80" s="6" t="s">
        <v>30</v>
      </c>
      <c r="C80" s="6">
        <v>757616</v>
      </c>
      <c r="D80" s="7">
        <v>6.1312717000000003E-2</v>
      </c>
      <c r="E80" s="4">
        <f t="shared" si="7"/>
        <v>46451.495402672001</v>
      </c>
      <c r="F80" s="7">
        <v>69000</v>
      </c>
      <c r="G80" s="8"/>
    </row>
    <row r="81" spans="1:7">
      <c r="A81" s="6" t="s">
        <v>105</v>
      </c>
      <c r="B81" s="6" t="s">
        <v>30</v>
      </c>
      <c r="C81" s="6">
        <v>75085</v>
      </c>
      <c r="D81" s="7">
        <v>6.4519170000000001E-2</v>
      </c>
      <c r="E81" s="4">
        <f t="shared" si="7"/>
        <v>4844.4218794500002</v>
      </c>
      <c r="F81" s="7">
        <v>49000</v>
      </c>
      <c r="G81" s="8"/>
    </row>
    <row r="82" spans="1:7">
      <c r="A82" s="3" t="s">
        <v>106</v>
      </c>
      <c r="B82" s="3" t="s">
        <v>30</v>
      </c>
      <c r="C82" s="3">
        <v>115423</v>
      </c>
      <c r="D82" s="4">
        <v>6.9008490000000006E-2</v>
      </c>
      <c r="E82" s="4">
        <f t="shared" si="7"/>
        <v>7965.1669412700003</v>
      </c>
      <c r="F82" s="4">
        <v>54000</v>
      </c>
      <c r="G82" s="8"/>
    </row>
    <row r="83" spans="1:7">
      <c r="A83" s="6" t="s">
        <v>64</v>
      </c>
      <c r="B83" s="6" t="s">
        <v>30</v>
      </c>
      <c r="C83" s="6">
        <v>77371</v>
      </c>
      <c r="D83" s="7">
        <v>7.0313269999999997E-2</v>
      </c>
      <c r="E83" s="4">
        <f t="shared" si="7"/>
        <v>5440.2080131699995</v>
      </c>
      <c r="F83" s="7">
        <v>55000</v>
      </c>
      <c r="G83" s="8"/>
    </row>
    <row r="84" spans="1:7">
      <c r="A84" s="3" t="s">
        <v>107</v>
      </c>
      <c r="B84" s="3" t="s">
        <v>30</v>
      </c>
      <c r="C84" s="3">
        <v>748956</v>
      </c>
      <c r="D84" s="4">
        <v>6.9373854999999998E-2</v>
      </c>
      <c r="E84" s="4">
        <f t="shared" si="7"/>
        <v>51957.964945380001</v>
      </c>
      <c r="F84" s="4">
        <v>58000</v>
      </c>
      <c r="G84" s="8"/>
    </row>
    <row r="85" spans="1:7">
      <c r="A85" s="6" t="s">
        <v>108</v>
      </c>
      <c r="B85" s="6" t="s">
        <v>30</v>
      </c>
      <c r="C85" s="6">
        <v>674558</v>
      </c>
      <c r="D85" s="7">
        <v>6.5804303999999994E-2</v>
      </c>
      <c r="E85" s="4">
        <f t="shared" si="7"/>
        <v>44388.819697631996</v>
      </c>
      <c r="F85" s="7">
        <v>47000</v>
      </c>
      <c r="G85" s="8"/>
    </row>
    <row r="86" spans="1:7">
      <c r="A86" s="3" t="s">
        <v>109</v>
      </c>
      <c r="B86" s="3" t="s">
        <v>30</v>
      </c>
      <c r="C86" s="3">
        <v>15882</v>
      </c>
      <c r="D86" s="4">
        <v>5.4398770999999999E-2</v>
      </c>
      <c r="E86" s="4">
        <f t="shared" si="7"/>
        <v>863.96128102199998</v>
      </c>
      <c r="F86" s="4">
        <v>52000</v>
      </c>
      <c r="G86" s="8"/>
    </row>
    <row r="87" spans="1:7">
      <c r="A87" s="6" t="s">
        <v>110</v>
      </c>
      <c r="B87" s="6" t="s">
        <v>31</v>
      </c>
      <c r="C87" s="6">
        <v>92346</v>
      </c>
      <c r="D87" s="7">
        <v>5.1097081000000003E-2</v>
      </c>
      <c r="E87" s="4">
        <f t="shared" si="7"/>
        <v>4718.6110420260002</v>
      </c>
      <c r="F87" s="7">
        <v>65000</v>
      </c>
      <c r="G87" s="8"/>
    </row>
    <row r="88" spans="1:7">
      <c r="A88" s="3" t="s">
        <v>111</v>
      </c>
      <c r="B88" s="3" t="s">
        <v>31</v>
      </c>
      <c r="C88" s="3">
        <v>15726</v>
      </c>
      <c r="D88" s="4">
        <v>5.2033988000000003E-2</v>
      </c>
      <c r="E88" s="4">
        <f t="shared" si="7"/>
        <v>818.28649528800008</v>
      </c>
      <c r="F88" s="4">
        <v>48000</v>
      </c>
      <c r="G88" s="8"/>
    </row>
    <row r="89" spans="1:7">
      <c r="A89" s="6" t="s">
        <v>112</v>
      </c>
      <c r="B89" s="6" t="s">
        <v>31</v>
      </c>
      <c r="C89" s="6">
        <v>126639</v>
      </c>
      <c r="D89" s="7">
        <v>4.7263682000000001E-2</v>
      </c>
      <c r="E89" s="4">
        <f t="shared" si="7"/>
        <v>5985.4254247979998</v>
      </c>
      <c r="F89" s="7">
        <v>67000</v>
      </c>
      <c r="G89" s="8"/>
    </row>
    <row r="90" spans="1:7">
      <c r="A90" s="3" t="s">
        <v>113</v>
      </c>
      <c r="B90" s="3" t="s">
        <v>32</v>
      </c>
      <c r="C90" s="3">
        <v>571961</v>
      </c>
      <c r="D90" s="4">
        <v>7.1753267999999995E-2</v>
      </c>
      <c r="E90" s="4">
        <f t="shared" si="7"/>
        <v>41040.070918547994</v>
      </c>
      <c r="F90" s="4">
        <v>45000</v>
      </c>
      <c r="G90" s="8"/>
    </row>
    <row r="91" spans="1:7">
      <c r="A91" s="6" t="s">
        <v>54</v>
      </c>
      <c r="B91" s="6" t="s">
        <v>32</v>
      </c>
      <c r="C91" s="6">
        <v>174817</v>
      </c>
      <c r="D91" s="7">
        <v>8.0273730000000001E-2</v>
      </c>
      <c r="E91" s="4">
        <f t="shared" si="7"/>
        <v>14033.21265741</v>
      </c>
      <c r="F91" s="7">
        <v>42000</v>
      </c>
      <c r="G91" s="8"/>
    </row>
    <row r="92" spans="1:7">
      <c r="A92" s="3" t="s">
        <v>114</v>
      </c>
      <c r="B92" s="3" t="s">
        <v>32</v>
      </c>
      <c r="C92" s="3">
        <v>276262</v>
      </c>
      <c r="D92" s="4">
        <v>5.4719192999999999E-2</v>
      </c>
      <c r="E92" s="4">
        <f t="shared" si="7"/>
        <v>15116.833696566</v>
      </c>
      <c r="F92" s="4">
        <v>45000</v>
      </c>
      <c r="G92" s="8"/>
    </row>
    <row r="93" spans="1:7">
      <c r="A93" s="6" t="s">
        <v>115</v>
      </c>
      <c r="B93" s="6" t="s">
        <v>32</v>
      </c>
      <c r="C93" s="6">
        <v>55141</v>
      </c>
      <c r="D93" s="7">
        <v>9.4658002000000005E-2</v>
      </c>
      <c r="E93" s="4">
        <f t="shared" si="7"/>
        <v>5219.5368882820003</v>
      </c>
      <c r="F93" s="7">
        <v>40000</v>
      </c>
      <c r="G93" s="8"/>
    </row>
    <row r="94" spans="1:7">
      <c r="A94" s="3" t="s">
        <v>116</v>
      </c>
      <c r="B94" s="3" t="s">
        <v>32</v>
      </c>
      <c r="C94" s="3">
        <v>504657</v>
      </c>
      <c r="D94" s="4">
        <v>7.3919718999999995E-2</v>
      </c>
      <c r="E94" s="4">
        <f t="shared" si="7"/>
        <v>37304.103631382997</v>
      </c>
      <c r="F94" s="4">
        <v>46600</v>
      </c>
      <c r="G94" s="8"/>
    </row>
    <row r="95" spans="1:7">
      <c r="A95" s="6" t="s">
        <v>117</v>
      </c>
      <c r="B95" s="6" t="s">
        <v>32</v>
      </c>
      <c r="C95" s="6">
        <v>133508</v>
      </c>
      <c r="D95" s="7">
        <v>8.5618911000000006E-2</v>
      </c>
      <c r="E95" s="4">
        <f t="shared" si="7"/>
        <v>11430.809569788002</v>
      </c>
      <c r="F95" s="7">
        <v>47000</v>
      </c>
      <c r="G95" s="8"/>
    </row>
    <row r="96" spans="1:7">
      <c r="A96" s="6" t="s">
        <v>118</v>
      </c>
      <c r="B96" s="6" t="s">
        <v>32</v>
      </c>
      <c r="C96" s="6">
        <v>81008</v>
      </c>
      <c r="D96" s="7">
        <v>8.3713827000000005E-2</v>
      </c>
      <c r="E96" s="4">
        <f t="shared" si="7"/>
        <v>6781.4896976160007</v>
      </c>
      <c r="F96" s="7">
        <v>37600</v>
      </c>
      <c r="G96" s="8"/>
    </row>
    <row r="97" spans="1:7">
      <c r="A97" s="3" t="s">
        <v>119</v>
      </c>
      <c r="B97" s="3" t="s">
        <v>32</v>
      </c>
      <c r="C97" s="3">
        <v>8511</v>
      </c>
      <c r="D97" s="4">
        <v>0.156147487</v>
      </c>
      <c r="E97" s="4">
        <f t="shared" si="7"/>
        <v>1328.9712618569999</v>
      </c>
      <c r="F97" s="4">
        <v>45000</v>
      </c>
      <c r="G97" s="8"/>
    </row>
    <row r="98" spans="1:7">
      <c r="A98" s="6" t="s">
        <v>62</v>
      </c>
      <c r="B98" s="6" t="s">
        <v>34</v>
      </c>
      <c r="C98" s="6">
        <v>104516</v>
      </c>
      <c r="D98" s="7">
        <v>5.4700627000000002E-2</v>
      </c>
      <c r="E98" s="4">
        <f t="shared" si="7"/>
        <v>5717.0907315320001</v>
      </c>
      <c r="F98" s="7">
        <v>50000</v>
      </c>
      <c r="G98" s="8"/>
    </row>
    <row r="99" spans="1:7">
      <c r="A99" s="3" t="s">
        <v>120</v>
      </c>
      <c r="B99" s="3" t="s">
        <v>34</v>
      </c>
      <c r="C99" s="3">
        <v>74977</v>
      </c>
      <c r="D99" s="4">
        <v>4.6467181000000003E-2</v>
      </c>
      <c r="E99" s="4">
        <f t="shared" si="7"/>
        <v>3483.9698298370004</v>
      </c>
      <c r="F99" s="4">
        <v>42000</v>
      </c>
      <c r="G99" s="8"/>
    </row>
    <row r="100" spans="1:7">
      <c r="A100" s="6" t="s">
        <v>121</v>
      </c>
      <c r="B100" s="6" t="s">
        <v>34</v>
      </c>
      <c r="C100" s="6">
        <v>108510</v>
      </c>
      <c r="D100" s="7">
        <v>5.7003976999999997E-2</v>
      </c>
      <c r="E100" s="4">
        <f t="shared" si="7"/>
        <v>6185.5015442699996</v>
      </c>
      <c r="F100" s="7">
        <v>50000</v>
      </c>
      <c r="G100" s="8"/>
    </row>
    <row r="101" spans="1:7">
      <c r="A101" s="3" t="s">
        <v>122</v>
      </c>
      <c r="B101" s="3" t="s">
        <v>34</v>
      </c>
      <c r="C101" s="3">
        <v>64316</v>
      </c>
      <c r="D101" s="4">
        <v>3.1356845000000001E-2</v>
      </c>
      <c r="E101" s="4">
        <f t="shared" si="7"/>
        <v>2016.7468430200001</v>
      </c>
      <c r="F101" s="4">
        <v>55000</v>
      </c>
      <c r="G101" s="8"/>
    </row>
    <row r="102" spans="1:7">
      <c r="A102" s="6" t="s">
        <v>123</v>
      </c>
      <c r="B102" s="6" t="s">
        <v>34</v>
      </c>
      <c r="C102" s="6">
        <v>164990</v>
      </c>
      <c r="D102" s="7">
        <v>3.6209865000000001E-2</v>
      </c>
      <c r="E102" s="4">
        <f t="shared" si="7"/>
        <v>5974.2656263500003</v>
      </c>
      <c r="F102" s="7">
        <v>60000</v>
      </c>
      <c r="G102" s="8"/>
    </row>
    <row r="103" spans="1:7">
      <c r="A103" s="3" t="s">
        <v>124</v>
      </c>
      <c r="B103" s="3" t="s">
        <v>34</v>
      </c>
      <c r="C103" s="3">
        <v>32514</v>
      </c>
      <c r="D103" s="4">
        <v>7.0009785000000005E-2</v>
      </c>
      <c r="E103" s="4">
        <f t="shared" si="7"/>
        <v>2276.29814949</v>
      </c>
      <c r="F103" s="4">
        <v>50000</v>
      </c>
      <c r="G103" s="8"/>
    </row>
    <row r="104" spans="1:7">
      <c r="A104" s="6" t="s">
        <v>67</v>
      </c>
      <c r="B104" s="6" t="s">
        <v>34</v>
      </c>
      <c r="C104" s="6">
        <v>1769892</v>
      </c>
      <c r="D104" s="7">
        <v>2.6796818E-2</v>
      </c>
      <c r="E104" s="4">
        <f t="shared" si="7"/>
        <v>47427.473803656001</v>
      </c>
      <c r="F104" s="7">
        <v>62000</v>
      </c>
      <c r="G104" s="8"/>
    </row>
    <row r="105" spans="1:7">
      <c r="A105" s="3" t="s">
        <v>125</v>
      </c>
      <c r="B105" s="3" t="s">
        <v>34</v>
      </c>
      <c r="C105" s="3">
        <v>180084</v>
      </c>
      <c r="D105" s="4">
        <v>3.4357681000000001E-2</v>
      </c>
      <c r="E105" s="4">
        <f t="shared" si="7"/>
        <v>6187.2686252040003</v>
      </c>
      <c r="F105" s="4">
        <v>106000</v>
      </c>
      <c r="G105" s="8"/>
    </row>
    <row r="106" spans="1:7">
      <c r="A106" s="6" t="s">
        <v>126</v>
      </c>
      <c r="B106" s="6" t="s">
        <v>34</v>
      </c>
      <c r="C106" s="6">
        <v>252138</v>
      </c>
      <c r="D106" s="7">
        <v>2.6291603E-2</v>
      </c>
      <c r="E106" s="4">
        <f t="shared" si="7"/>
        <v>6629.1121972139999</v>
      </c>
      <c r="F106" s="7">
        <v>61000</v>
      </c>
      <c r="G106" s="8"/>
    </row>
    <row r="107" spans="1:7">
      <c r="A107" s="3" t="s">
        <v>127</v>
      </c>
      <c r="B107" s="3" t="s">
        <v>34</v>
      </c>
      <c r="C107" s="3">
        <v>56741</v>
      </c>
      <c r="D107" s="4">
        <v>6.6527701999999994E-2</v>
      </c>
      <c r="E107" s="4">
        <f t="shared" si="7"/>
        <v>3774.8483391819996</v>
      </c>
      <c r="F107" s="4">
        <v>47000</v>
      </c>
      <c r="G107" s="8"/>
    </row>
    <row r="108" spans="1:7">
      <c r="A108" s="6" t="s">
        <v>128</v>
      </c>
      <c r="B108" s="6" t="s">
        <v>34</v>
      </c>
      <c r="C108" s="6">
        <v>77647</v>
      </c>
      <c r="D108" s="7">
        <v>5.3572714E-2</v>
      </c>
      <c r="E108" s="4">
        <f t="shared" si="7"/>
        <v>4159.7605239579998</v>
      </c>
      <c r="F108" s="7">
        <v>45000</v>
      </c>
      <c r="G108" s="8"/>
    </row>
  </sheetData>
  <pageMargins left="0.7" right="0.7" top="0.75" bottom="0.75" header="0.3" footer="0.3"/>
  <pageSetup scale="30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Annie Chen</dc:creator>
  <cp:lastModifiedBy>Gary Thuc Nguyen</cp:lastModifiedBy>
  <cp:lastPrinted>2018-03-13T03:16:57Z</cp:lastPrinted>
  <dcterms:created xsi:type="dcterms:W3CDTF">2018-03-03T00:32:57Z</dcterms:created>
  <dcterms:modified xsi:type="dcterms:W3CDTF">2019-08-07T08:26:47Z</dcterms:modified>
</cp:coreProperties>
</file>